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 Checklist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<sst xmlns="http://schemas.openxmlformats.org/spreadsheetml/2006/main" count="109" uniqueCount="72">
  <si>
    <t>ISO/IEC 27001 — Internal Audit Checklist</t>
  </si>
  <si>
    <t>Audit Summary</t>
  </si>
  <si>
    <t>Total Checks</t>
  </si>
  <si>
    <t>Organization: Inter Market Securities — Brokerage Platform</t>
  </si>
  <si>
    <t>Audit Scope</t>
  </si>
  <si>
    <t>ISMS Clauses 4–10 and applicable Annex A controls</t>
  </si>
  <si>
    <t>Areas / Departments Audited</t>
  </si>
  <si>
    <t>IT, Compliance, HR, Operations, Dealing Room</t>
  </si>
  <si>
    <t>Compliant (Y)</t>
  </si>
  <si>
    <t>#</t>
  </si>
  <si>
    <t>Category</t>
  </si>
  <si>
    <t>Clause / Control Ref.</t>
  </si>
  <si>
    <t>Non-Compliant (N)</t>
  </si>
  <si>
    <t>Audit Check</t>
  </si>
  <si>
    <t>Compliant (Y/N/Partial)</t>
  </si>
  <si>
    <t>Context &amp; Leadership</t>
  </si>
  <si>
    <t>Clause 4.3</t>
  </si>
  <si>
    <t>Partially Compliant</t>
  </si>
  <si>
    <t>Is the ISMS scope documented, approved, and up to date?</t>
  </si>
  <si>
    <t>y</t>
  </si>
  <si>
    <t>Clause 4.1 / 4.2</t>
  </si>
  <si>
    <t>Not Applicable (N/A)</t>
  </si>
  <si>
    <t>Are internal/external issues and interested parties reviewed periodically?</t>
  </si>
  <si>
    <t>Clause 5.2</t>
  </si>
  <si>
    <t>Is there a current, approved Information Security Policy communicated to staff?</t>
  </si>
  <si>
    <t>Nonconformities Identified</t>
  </si>
  <si>
    <t>Clause 5.3</t>
  </si>
  <si>
    <t>Are information security roles and responsibilities formally assigned and communicated?</t>
  </si>
  <si>
    <t>Observations / Opportunities for Improvement</t>
  </si>
  <si>
    <t>Clause 5.1</t>
  </si>
  <si>
    <t>Does top management demonstrate visible commitment (budget, resourcing, reviews)?</t>
  </si>
  <si>
    <t>Auditor Sign-off (Name / Date)</t>
  </si>
  <si>
    <t>Note: Training exercise using Inter Market Securities as an illustrative brokerage-sector organization. Tailor to the organization's actual scope and control environment before operational use.</t>
  </si>
  <si>
    <t>Planning</t>
  </si>
  <si>
    <t>Clause 6.1.2</t>
  </si>
  <si>
    <t>Is there a current risk assessment covering key information assets?</t>
  </si>
  <si>
    <t>Clause 6.1.3</t>
  </si>
  <si>
    <t>Is there an approved risk treatment plan with owners and target dates?</t>
  </si>
  <si>
    <t>Clause 6.1.3 / SoA</t>
  </si>
  <si>
    <t>Is the Statement of Applicability (SoA) complete, justified, and current?</t>
  </si>
  <si>
    <t>Clause 6.2</t>
  </si>
  <si>
    <t>Are information security objectives documented, measurable, and tracked?</t>
  </si>
  <si>
    <t>Support &amp; Operation</t>
  </si>
  <si>
    <t>Clause 7.1</t>
  </si>
  <si>
    <t>Are adequate resources (budget, staff, tools) allocated to the ISMS?</t>
  </si>
  <si>
    <t>Clause 7.2 / 7.3</t>
  </si>
  <si>
    <t>Have staff completed required security awareness training (onboarding + annual refresher)?</t>
  </si>
  <si>
    <t>Clause 7.5</t>
  </si>
  <si>
    <t>Is documented information version-controlled, reviewed, and access-restricted appropriately?</t>
  </si>
  <si>
    <t>Clause 8.1</t>
  </si>
  <si>
    <t>Are operational controls (change management, capacity planning, backups) documented and followed?</t>
  </si>
  <si>
    <t>Annex A Controls</t>
  </si>
  <si>
    <t>A.5.15</t>
  </si>
  <si>
    <t>Are access rights reviewed periodically and revoked promptly on termination/role change?</t>
  </si>
  <si>
    <t>A.6.3</t>
  </si>
  <si>
    <t>Is security awareness training tracked with completion records?</t>
  </si>
  <si>
    <t>n</t>
  </si>
  <si>
    <t>A.7.2</t>
  </si>
  <si>
    <t>Are physical entry controls enforced at server rooms and branch trading areas?</t>
  </si>
  <si>
    <t>A.8.5</t>
  </si>
  <si>
    <t>Is multi-factor authentication enforced for client and staff remote access?</t>
  </si>
  <si>
    <t>A.8.24</t>
  </si>
  <si>
    <t>Is there a documented cryptographic key-management procedure?</t>
  </si>
  <si>
    <t>Performance &amp; Improvement</t>
  </si>
  <si>
    <t>Clause 9.2</t>
  </si>
  <si>
    <t>Are internal audits planned, conducted, and results reported to management?</t>
  </si>
  <si>
    <t>Clause 9.3</t>
  </si>
  <si>
    <t>Is a management review conducted at planned intervals with documented outcomes?</t>
  </si>
  <si>
    <t>Clause 10.1</t>
  </si>
  <si>
    <t>Are nonconformities logged, root-caused, and tracked to closure via corrective action?</t>
  </si>
  <si>
    <t>Clause 10.2</t>
  </si>
  <si>
    <t>Is there evidence of continual improvement (e.g., updated risk treatments, revised controls)?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</si>
</sst>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1F3864"/>
      <name val="Arial"/>
    </font>
    <font>
      <b/>
      <sz val="16.0"/>
      <color rgb="FF000000"/>
      <name val="Arial"/>
    </font>
    <font>
      <b/>
      <sz val="11.0"/>
      <color rgb="FF1F3864"/>
      <name val="Arial"/>
    </font>
    <font>
      <i/>
      <sz val="11.0"/>
      <color rgb="FF000000"/>
      <name val="Arial"/>
    </font>
    <font>
      <color rgb="FF000000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i/>
      <sz val="9.0"/>
      <color rgb="FF777777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4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left" shrinkToFit="0" vertical="center" wrapText="0"/>
    </xf>
    <xf borderId="1" fillId="3" fontId="3" numFmtId="0" xfId="0" applyAlignment="1" applyBorder="1" applyFill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5" numFmtId="0" xfId="0" applyFont="1"/>
    <xf borderId="1" fillId="2" fontId="6" numFmtId="0" xfId="0" applyAlignment="1" applyBorder="1" applyFont="1">
      <alignment shrinkToFit="0" vertical="bottom" wrapText="0"/>
    </xf>
    <xf borderId="2" fillId="2" fontId="7" numFmtId="0" xfId="0" applyAlignment="1" applyBorder="1" applyFont="1">
      <alignment shrinkToFit="0" vertical="bottom" wrapText="0"/>
    </xf>
    <xf borderId="3" fillId="0" fontId="8" numFmtId="0" xfId="0" applyBorder="1" applyFont="1"/>
    <xf borderId="1" fillId="0" fontId="9" numFmtId="0" xfId="0" applyAlignment="1" applyBorder="1" applyFont="1">
      <alignment horizontal="center" shrinkToFit="0" vertical="bottom" wrapText="0"/>
    </xf>
    <xf borderId="0" fillId="2" fontId="10" numFmtId="0" xfId="0" applyFont="1"/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34.14"/>
    <col customWidth="1" min="2" max="2" width="20.0"/>
    <col customWidth="1" min="3" max="3" width="16.0"/>
    <col customWidth="1" min="4" max="4" width="55.0"/>
    <col customWidth="1" min="5" max="5" width="20.0"/>
    <col customWidth="1" min="6" max="7" width="30.0"/>
    <col customWidth="1" min="8" max="26" width="8.71"/>
  </cols>
  <sheetData>
    <row r="1" ht="25.5" customHeight="1">
      <c r="A1" s="2" t="s">
        <v>0</v>
      </c>
    </row>
    <row r="2" ht="18.0" customHeight="1">
      <c r="A2" s="4" t="s">
        <v>3</v>
      </c>
    </row>
    <row r="3">
      <c r="A3" s="5"/>
      <c r="B3" s="5"/>
      <c r="C3" s="5"/>
      <c r="D3" s="5"/>
      <c r="E3" s="5"/>
      <c r="F3" s="5"/>
      <c r="G3" s="5"/>
    </row>
    <row r="4">
      <c r="A4" s="6" t="s">
        <v>4</v>
      </c>
      <c r="B4" s="7" t="s">
        <v>5</v>
      </c>
      <c r="C4" s="8"/>
      <c r="D4" s="8"/>
      <c r="E4" s="8"/>
      <c r="F4" s="8"/>
      <c r="G4" s="8"/>
    </row>
    <row r="5">
      <c r="A5" s="6" t="s">
        <v>6</v>
      </c>
      <c r="B5" s="7" t="s">
        <v>7</v>
      </c>
      <c r="C5" s="8"/>
      <c r="D5" s="8"/>
      <c r="E5" s="8"/>
      <c r="F5" s="8"/>
      <c r="G5" s="8"/>
    </row>
    <row r="6">
      <c r="A6" s="6"/>
      <c r="B6" s="7"/>
      <c r="C6" s="8"/>
      <c r="D6" s="8"/>
      <c r="E6" s="8"/>
      <c r="F6" s="8"/>
      <c r="G6" s="8"/>
    </row>
    <row r="7">
      <c r="E7" s="10"/>
    </row>
    <row r="8">
      <c r="A8" s="5"/>
      <c r="B8" s="5"/>
      <c r="C8" s="5"/>
      <c r="D8" s="5"/>
      <c r="E8" s="5"/>
      <c r="F8" s="5"/>
      <c r="G8" s="5"/>
    </row>
    <row r="9" ht="30.0" customHeight="1">
      <c r="A9" s="11" t="s">
        <v>9</v>
      </c>
      <c r="B9" s="11" t="s">
        <v>10</v>
      </c>
      <c r="C9" s="11" t="s">
        <v>11</v>
      </c>
      <c r="D9" s="11" t="s">
        <v>13</v>
      </c>
      <c r="E9" s="11" t="s">
        <v>14</v>
      </c>
      <c r="F9" s="11"/>
      <c r="G9" s="11"/>
    </row>
    <row r="10" ht="31.5" customHeight="1">
      <c r="A10" s="12">
        <v>1.0</v>
      </c>
      <c r="B10" s="13" t="s">
        <v>15</v>
      </c>
      <c r="C10" s="13" t="s">
        <v>16</v>
      </c>
      <c r="D10" s="13" t="s">
        <v>18</v>
      </c>
      <c r="E10" s="14" t="s">
        <v>19</v>
      </c>
      <c r="F10" s="13"/>
      <c r="G10" s="13"/>
    </row>
    <row r="11" ht="31.5" customHeight="1">
      <c r="A11" s="12">
        <v>2.0</v>
      </c>
      <c r="B11" s="13" t="s">
        <v>15</v>
      </c>
      <c r="C11" s="13" t="s">
        <v>20</v>
      </c>
      <c r="D11" s="13" t="s">
        <v>22</v>
      </c>
      <c r="E11" s="14" t="s">
        <v>19</v>
      </c>
      <c r="F11" s="13"/>
      <c r="G11" s="13"/>
    </row>
    <row r="12" ht="31.5" customHeight="1">
      <c r="A12" s="12">
        <v>3.0</v>
      </c>
      <c r="B12" s="13" t="s">
        <v>15</v>
      </c>
      <c r="C12" s="13" t="s">
        <v>23</v>
      </c>
      <c r="D12" s="13" t="s">
        <v>24</v>
      </c>
      <c r="E12" s="14" t="s">
        <v>19</v>
      </c>
      <c r="F12" s="13"/>
      <c r="G12" s="13"/>
    </row>
    <row r="13" ht="31.5" customHeight="1">
      <c r="A13" s="12">
        <v>4.0</v>
      </c>
      <c r="B13" s="13" t="s">
        <v>15</v>
      </c>
      <c r="C13" s="13" t="s">
        <v>26</v>
      </c>
      <c r="D13" s="13" t="s">
        <v>27</v>
      </c>
      <c r="E13" s="14" t="s">
        <v>19</v>
      </c>
      <c r="F13" s="13"/>
      <c r="G13" s="13"/>
    </row>
    <row r="14" ht="31.5" customHeight="1">
      <c r="A14" s="12">
        <v>5.0</v>
      </c>
      <c r="B14" s="13" t="s">
        <v>15</v>
      </c>
      <c r="C14" s="13" t="s">
        <v>29</v>
      </c>
      <c r="D14" s="13" t="s">
        <v>30</v>
      </c>
      <c r="E14" s="14" t="s">
        <v>19</v>
      </c>
      <c r="F14" s="13"/>
      <c r="G14" s="13"/>
    </row>
    <row r="15" ht="31.5" customHeight="1">
      <c r="A15" s="12">
        <v>6.0</v>
      </c>
      <c r="B15" s="13" t="s">
        <v>33</v>
      </c>
      <c r="C15" s="13" t="s">
        <v>34</v>
      </c>
      <c r="D15" s="13" t="s">
        <v>35</v>
      </c>
      <c r="E15" s="14" t="s">
        <v>19</v>
      </c>
      <c r="F15" s="13"/>
      <c r="G15" s="13"/>
    </row>
    <row r="16" ht="31.5" customHeight="1">
      <c r="A16" s="12">
        <v>7.0</v>
      </c>
      <c r="B16" s="13" t="s">
        <v>33</v>
      </c>
      <c r="C16" s="13" t="s">
        <v>36</v>
      </c>
      <c r="D16" s="13" t="s">
        <v>37</v>
      </c>
      <c r="E16" s="14" t="s">
        <v>19</v>
      </c>
      <c r="F16" s="13"/>
      <c r="G16" s="13"/>
    </row>
    <row r="17" ht="31.5" customHeight="1">
      <c r="A17" s="12">
        <v>8.0</v>
      </c>
      <c r="B17" s="13" t="s">
        <v>33</v>
      </c>
      <c r="C17" s="13" t="s">
        <v>38</v>
      </c>
      <c r="D17" s="13" t="s">
        <v>39</v>
      </c>
      <c r="E17" s="14" t="s">
        <v>19</v>
      </c>
      <c r="F17" s="13"/>
      <c r="G17" s="13"/>
    </row>
    <row r="18" ht="31.5" customHeight="1">
      <c r="A18" s="12">
        <v>9.0</v>
      </c>
      <c r="B18" s="13" t="s">
        <v>33</v>
      </c>
      <c r="C18" s="13" t="s">
        <v>40</v>
      </c>
      <c r="D18" s="13" t="s">
        <v>41</v>
      </c>
      <c r="E18" s="14" t="s">
        <v>19</v>
      </c>
      <c r="F18" s="13"/>
      <c r="G18" s="13"/>
    </row>
    <row r="19" ht="31.5" customHeight="1">
      <c r="A19" s="12">
        <v>10.0</v>
      </c>
      <c r="B19" s="13" t="s">
        <v>42</v>
      </c>
      <c r="C19" s="13" t="s">
        <v>43</v>
      </c>
      <c r="D19" s="13" t="s">
        <v>44</v>
      </c>
      <c r="E19" s="14" t="s">
        <v>19</v>
      </c>
      <c r="F19" s="13"/>
      <c r="G19" s="13"/>
    </row>
    <row r="20" ht="31.5" customHeight="1">
      <c r="A20" s="12">
        <v>11.0</v>
      </c>
      <c r="B20" s="13" t="s">
        <v>42</v>
      </c>
      <c r="C20" s="13" t="s">
        <v>45</v>
      </c>
      <c r="D20" s="13" t="s">
        <v>46</v>
      </c>
      <c r="E20" s="14" t="s">
        <v>19</v>
      </c>
      <c r="F20" s="13"/>
      <c r="G20" s="13"/>
    </row>
    <row r="21" ht="31.5" customHeight="1">
      <c r="A21" s="12">
        <v>12.0</v>
      </c>
      <c r="B21" s="13" t="s">
        <v>42</v>
      </c>
      <c r="C21" s="13" t="s">
        <v>47</v>
      </c>
      <c r="D21" s="13" t="s">
        <v>48</v>
      </c>
      <c r="E21" s="14" t="s">
        <v>19</v>
      </c>
      <c r="F21" s="13"/>
      <c r="G21" s="13"/>
    </row>
    <row r="22" ht="31.5" customHeight="1">
      <c r="A22" s="12">
        <v>13.0</v>
      </c>
      <c r="B22" s="13" t="s">
        <v>42</v>
      </c>
      <c r="C22" s="13" t="s">
        <v>49</v>
      </c>
      <c r="D22" s="13" t="s">
        <v>50</v>
      </c>
      <c r="E22" s="14" t="s">
        <v>19</v>
      </c>
      <c r="F22" s="13"/>
      <c r="G22" s="13"/>
    </row>
    <row r="23" ht="31.5" customHeight="1">
      <c r="A23" s="12">
        <v>14.0</v>
      </c>
      <c r="B23" s="13" t="s">
        <v>51</v>
      </c>
      <c r="C23" s="13" t="s">
        <v>52</v>
      </c>
      <c r="D23" s="13" t="s">
        <v>53</v>
      </c>
      <c r="E23" s="14" t="s">
        <v>19</v>
      </c>
      <c r="F23" s="13"/>
      <c r="G23" s="13"/>
    </row>
    <row r="24" ht="31.5" customHeight="1">
      <c r="A24" s="12">
        <v>15.0</v>
      </c>
      <c r="B24" s="13" t="s">
        <v>51</v>
      </c>
      <c r="C24" s="13" t="s">
        <v>54</v>
      </c>
      <c r="D24" s="13" t="s">
        <v>55</v>
      </c>
      <c r="E24" s="14" t="s">
        <v>56</v>
      </c>
      <c r="F24" s="13"/>
      <c r="G24" s="13"/>
    </row>
    <row r="25" ht="31.5" customHeight="1">
      <c r="A25" s="12">
        <v>16.0</v>
      </c>
      <c r="B25" s="13" t="s">
        <v>51</v>
      </c>
      <c r="C25" s="13" t="s">
        <v>57</v>
      </c>
      <c r="D25" s="13" t="s">
        <v>58</v>
      </c>
      <c r="E25" s="14" t="s">
        <v>19</v>
      </c>
      <c r="F25" s="13"/>
      <c r="G25" s="13"/>
    </row>
    <row r="26" ht="31.5" customHeight="1">
      <c r="A26" s="12">
        <v>17.0</v>
      </c>
      <c r="B26" s="13" t="s">
        <v>51</v>
      </c>
      <c r="C26" s="13" t="s">
        <v>59</v>
      </c>
      <c r="D26" s="13" t="s">
        <v>60</v>
      </c>
      <c r="E26" s="14" t="s">
        <v>19</v>
      </c>
      <c r="F26" s="13"/>
      <c r="G26" s="13"/>
    </row>
    <row r="27" ht="31.5" customHeight="1">
      <c r="A27" s="12">
        <v>18.0</v>
      </c>
      <c r="B27" s="13" t="s">
        <v>51</v>
      </c>
      <c r="C27" s="13" t="s">
        <v>61</v>
      </c>
      <c r="D27" s="13" t="s">
        <v>62</v>
      </c>
      <c r="E27" s="14" t="s">
        <v>56</v>
      </c>
      <c r="F27" s="13"/>
      <c r="G27" s="13"/>
    </row>
    <row r="28" ht="31.5" customHeight="1">
      <c r="A28" s="12">
        <v>19.0</v>
      </c>
      <c r="B28" s="13" t="s">
        <v>63</v>
      </c>
      <c r="C28" s="13" t="s">
        <v>64</v>
      </c>
      <c r="D28" s="13" t="s">
        <v>65</v>
      </c>
      <c r="E28" s="14" t="s">
        <v>19</v>
      </c>
      <c r="F28" s="13"/>
      <c r="G28" s="13"/>
    </row>
    <row r="29" ht="31.5" customHeight="1">
      <c r="A29" s="12">
        <v>20.0</v>
      </c>
      <c r="B29" s="13" t="s">
        <v>63</v>
      </c>
      <c r="C29" s="13" t="s">
        <v>66</v>
      </c>
      <c r="D29" s="13" t="s">
        <v>67</v>
      </c>
      <c r="E29" s="14" t="s">
        <v>19</v>
      </c>
      <c r="F29" s="13"/>
      <c r="G29" s="13"/>
    </row>
    <row r="30" ht="31.5" customHeight="1">
      <c r="A30" s="12">
        <v>21.0</v>
      </c>
      <c r="B30" s="13" t="s">
        <v>63</v>
      </c>
      <c r="C30" s="13" t="s">
        <v>68</v>
      </c>
      <c r="D30" s="13" t="s">
        <v>69</v>
      </c>
      <c r="E30" s="14" t="s">
        <v>19</v>
      </c>
      <c r="F30" s="13"/>
      <c r="G30" s="13"/>
    </row>
    <row r="31" ht="31.5" customHeight="1">
      <c r="A31" s="12">
        <v>22.0</v>
      </c>
      <c r="B31" s="13" t="s">
        <v>63</v>
      </c>
      <c r="C31" s="13" t="s">
        <v>70</v>
      </c>
      <c r="D31" s="13" t="s">
        <v>71</v>
      </c>
      <c r="E31" s="14" t="s">
        <v>19</v>
      </c>
      <c r="F31" s="13"/>
      <c r="G31" s="13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mergeCells count="5">
    <mergeCell ref="A1:G1"/>
    <mergeCell ref="A2:G2"/>
    <mergeCell ref="B4:G4"/>
    <mergeCell ref="B6:G6"/>
    <mergeCell ref="B5:G5"/>
  </mergeCells>
  <conditionalFormatting sqref="E10:E31">
    <cfRule type="cellIs" dxfId="0" priority="1" operator="equal">
      <formula>"Y"</formula>
    </cfRule>
  </conditionalFormatting>
  <conditionalFormatting sqref="E10:E31">
    <cfRule type="cellIs" dxfId="1" priority="2" operator="equal">
      <formula>"N"</formula>
    </cfRule>
  </conditionalFormatting>
  <conditionalFormatting sqref="E10:E31">
    <cfRule type="cellIs" dxfId="2" priority="3" operator="equal">
      <formula>"Partial"</formula>
    </cfRule>
  </conditionalFormatting>
  <printOptions/>
  <pageMargins bottom="0.5" footer="0.0" header="0.0" left="0.4" right="0.4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4.0"/>
    <col customWidth="1" min="2" max="3" width="20.0"/>
    <col customWidth="1" min="4" max="26" width="8.71"/>
  </cols>
  <sheetData>
    <row r="1" ht="25.5" customHeight="1">
      <c r="A1" s="1" t="s">
        <v>1</v>
      </c>
    </row>
    <row r="3">
      <c r="A3" s="3" t="s">
        <v>2</v>
      </c>
      <c r="B3" s="9">
        <f>COUNTA('Audit Checklist'!D10:D31)</f>
        <v>22</v>
      </c>
    </row>
    <row r="4">
      <c r="A4" s="3" t="s">
        <v>8</v>
      </c>
      <c r="B4" s="9">
        <f>COUNTIF('Audit Checklist'!E10:E31,"Y")</f>
        <v>20</v>
      </c>
    </row>
    <row r="5">
      <c r="A5" s="3" t="s">
        <v>12</v>
      </c>
      <c r="B5" s="9">
        <f>COUNTIF('Audit Checklist'!E10:E31,"N")</f>
        <v>2</v>
      </c>
    </row>
    <row r="6">
      <c r="A6" s="3" t="s">
        <v>17</v>
      </c>
      <c r="B6" s="9">
        <f>COUNTIF('Audit Checklist'!E10:E31,"Partial")</f>
        <v>0</v>
      </c>
    </row>
    <row r="7">
      <c r="A7" s="3" t="s">
        <v>21</v>
      </c>
      <c r="B7" s="9">
        <f>COUNTIF('Audit Checklist'!E10:E31,"N/A")</f>
        <v>0</v>
      </c>
    </row>
    <row r="9">
      <c r="A9" s="3" t="s">
        <v>25</v>
      </c>
      <c r="B9" s="15"/>
      <c r="C9" s="8"/>
    </row>
    <row r="10">
      <c r="A10" s="3" t="s">
        <v>28</v>
      </c>
      <c r="B10" s="15"/>
      <c r="C10" s="8"/>
    </row>
    <row r="11">
      <c r="A11" s="3" t="s">
        <v>31</v>
      </c>
      <c r="B11" s="15"/>
      <c r="C11" s="8"/>
    </row>
    <row r="14" ht="32.25" customHeight="1">
      <c r="A14" s="16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9:C9"/>
    <mergeCell ref="B10:C10"/>
    <mergeCell ref="B11:C11"/>
    <mergeCell ref="A14:C14"/>
  </mergeCells>
  <printOptions/>
  <pageMargins bottom="0.5" footer="0.0" header="0.0" left="0.4" right="0.4" top="0.5"/>
  <pageSetup fitToHeight="0" orientation="landscape"/>
  <drawing r:id="rId1"/>
</worksheet>
</file>